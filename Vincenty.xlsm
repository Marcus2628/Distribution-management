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ush\OneDrive\Desktop\"/>
    </mc:Choice>
  </mc:AlternateContent>
  <xr:revisionPtr revIDLastSave="0" documentId="13_ncr:1_{7E254B2A-0CE0-4448-8A87-E23066037A4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2">
            <x14:argumentDescription index="0">decimal degrees</x14:argumentDescription>
            <x14:argumentDescription index="1">optional: longitude (true) or latitude (false)</x14:argumentDescription>
          </x14:argumentDescriptions>
        </x14:definedName>
        <x14:definedName name="From2000Lat">
          <x14:argumentDescriptions count="3">
            <x14:argumentDescription index="0">X coordinate</x14:argumentDescription>
            <x14:argumentDescription index="1">Y coordinate</x14:argumentDescription>
            <x14:argumentDescription index="2">meridian - accepted values are 15, 18, 21, 24</x14:argumentDescription>
          </x14:argumentDescriptions>
        </x14:definedName>
        <x14:definedName name="From2000Lon">
          <x14:argumentDescriptions count="3">
            <x14:argumentDescription index="0">X coordinate</x14:argumentDescription>
            <x14:argumentDescription index="1">Y coordinate</x14:argumentDescription>
            <x14:argumentDescription index="2">meridian - accepted values are 15, 18, 21, 24</x14:argumentDescription>
          </x14:argumentDescriptions>
        </x14:definedName>
        <x14:definedName name="NormalizeAzimuth">
          <x14:argumentDescriptions count="2">
            <x14:argumentDescription index="0">azimuth</x14:argumentDescription>
            <x14:argumentDescription index="1">optional: positive only, default true</x14:argumentDescription>
          </x14:argumentDescriptions>
        </x14:definedName>
        <x14:definedName name="To2000X">
          <x14:argumentDescriptions count="3">
            <x14:argumentDescription index="0">latitude in degrees</x14:argumentDescription>
            <x14:argumentDescription index="1">longitude in degrees</x14:argumentDescription>
            <x14:argumentDescription index="2">target meridian - accepted values are 15, 18, 21, 24</x14:argumentDescription>
          </x14:argumentDescriptions>
        </x14:definedName>
        <x14:definedName name="To2000Y">
          <x14:argumentDescriptions count="3">
            <x14:argumentDescription index="0">latitude in degrees</x14:argumentDescription>
            <x14:argumentDescription index="1">longitude in degrees</x14:argumentDescription>
            <x14:argumentDescription index="2">target meridian - accepted values are 15, 18, 21, 24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5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  <x14:argumentDescription index="4">is return azimuth, default false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5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  <x14:argumentDescription index="4">is return azimuth, default false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" i="1" l="1"/>
  <c r="E32" i="1"/>
  <c r="E35" i="1"/>
  <c r="E33" i="1"/>
  <c r="E24" i="1"/>
  <c r="E34" i="1"/>
  <c r="H33" i="1"/>
  <c r="H34" i="1"/>
  <c r="H32" i="1"/>
  <c r="H25" i="1"/>
  <c r="J25" i="1" s="1"/>
  <c r="H26" i="1"/>
  <c r="H24" i="1"/>
  <c r="J24" i="1" s="1"/>
</calcChain>
</file>

<file path=xl/sharedStrings.xml><?xml version="1.0" encoding="utf-8"?>
<sst xmlns="http://schemas.openxmlformats.org/spreadsheetml/2006/main" count="60" uniqueCount="55">
  <si>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</si>
  <si>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</si>
  <si>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</si>
  <si>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</si>
  <si>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</si>
  <si>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</si>
  <si>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</si>
  <si>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</si>
  <si>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</si>
  <si>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</si>
  <si>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</si>
  <si>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</si>
  <si>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</si>
  <si>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</si>
  <si>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</si>
  <si>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</si>
  <si>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</si>
  <si>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</si>
  <si>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</si>
  <si>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</si>
  <si>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</si>
  <si>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</si>
  <si>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</si>
  <si>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</si>
  <si>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</si>
  <si>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</si>
  <si>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</si>
  <si>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</si>
  <si>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</si>
  <si>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</si>
  <si>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</si>
  <si>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</si>
  <si>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</si>
  <si>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</si>
  <si>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</si>
  <si>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</si>
  <si>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</si>
  <si>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</si>
  <si>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</si>
  <si>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</si>
  <si>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</si>
  <si>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</si>
  <si>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</si>
  <si>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</si>
  <si>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</si>
  <si>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</si>
  <si>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https://github.com/tdjastrzebski/Vincenty-Excel</t>
  </si>
  <si>
    <t>Result: distance, azimuth, reverse azimuth</t>
  </si>
  <si>
    <t>Latest version available at:</t>
  </si>
  <si>
    <t>Input: point 1, distance, azimuth</t>
  </si>
  <si>
    <t>Input: point 1, point 2</t>
  </si>
  <si>
    <t>Result: point 2, reverse azimuth</t>
  </si>
  <si>
    <t>Based on the implementation in Java Script by Chris Veness, ver 2.4.0</t>
  </si>
  <si>
    <t>Ported to VBA by © Tomasz Jastrzębski 2018-2022 MIT License</t>
  </si>
  <si>
    <t>Version: 2022-07-03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</si>
</sst>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0000%"/>
    <numFmt numFmtId="166" formatCode="0.0000"/>
    <numFmt numFmtId="167" formatCode="#,##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164" fontId="9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6" fontId="1" fillId="2" borderId="1" xfId="0" applyNumberFormat="1" applyFont="1" applyFill="1" applyBorder="1" applyAlignment="1">
      <alignment horizontal="right"/>
    </xf>
    <xf numFmtId="166" fontId="0" fillId="0" borderId="1" xfId="0" applyNumberFormat="1" applyBorder="1"/>
    <xf numFmtId="166" fontId="0" fillId="3" borderId="1" xfId="0" applyNumberFormat="1" applyFill="1" applyBorder="1" applyAlignment="1">
      <alignment horizontal="right"/>
    </xf>
    <xf numFmtId="166" fontId="0" fillId="3" borderId="1" xfId="0" applyNumberFormat="1" applyFill="1" applyBorder="1"/>
    <xf numFmtId="0" fontId="4" fillId="6" borderId="0" xfId="0" applyFont="1" applyFill="1"/>
    <xf numFmtId="167" fontId="1" fillId="2" borderId="1" xfId="0" applyNumberFormat="1" applyFont="1" applyFill="1" applyBorder="1" applyAlignment="1">
      <alignment horizontal="right"/>
    </xf>
    <xf numFmtId="167" fontId="0" fillId="3" borderId="1" xfId="0" applyNumberFormat="1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right" vertical="center"/>
    </xf>
    <xf numFmtId="165" fontId="0" fillId="0" borderId="1" xfId="0" applyNumberFormat="1" applyBorder="1" applyAlignment="1">
      <alignment horizontal="right" vertical="center"/>
    </xf>
    <xf numFmtId="164" fontId="0" fillId="0" borderId="0" xfId="2" applyFont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23</xdr:row>
      <xdr:rowOff>1</xdr:rowOff>
    </xdr:from>
    <xdr:to>
      <xdr:col>8</xdr:col>
      <xdr:colOff>590549</xdr:colOff>
      <xdr:row>25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23</xdr:row>
      <xdr:rowOff>13763</xdr:rowOff>
    </xdr:from>
    <xdr:to>
      <xdr:col>5</xdr:col>
      <xdr:colOff>1090331</xdr:colOff>
      <xdr:row>26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31</xdr:row>
      <xdr:rowOff>19050</xdr:rowOff>
    </xdr:from>
    <xdr:to>
      <xdr:col>3</xdr:col>
      <xdr:colOff>588065</xdr:colOff>
      <xdr:row>34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23</xdr:row>
      <xdr:rowOff>13082</xdr:rowOff>
    </xdr:from>
    <xdr:to>
      <xdr:col>3</xdr:col>
      <xdr:colOff>601742</xdr:colOff>
      <xdr:row>24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31</xdr:row>
      <xdr:rowOff>12886</xdr:rowOff>
    </xdr:from>
    <xdr:to>
      <xdr:col>5</xdr:col>
      <xdr:colOff>1099856</xdr:colOff>
      <xdr:row>34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25</xdr:row>
      <xdr:rowOff>49908</xdr:rowOff>
    </xdr:from>
    <xdr:to>
      <xdr:col>4</xdr:col>
      <xdr:colOff>825946</xdr:colOff>
      <xdr:row>26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7"/>
  <sheetViews>
    <sheetView tabSelected="1" topLeftCell="A13" zoomScale="115" zoomScaleNormal="115" workbookViewId="0">
      <selection activeCell="C24" sqref="C24"/>
    </sheetView>
  </sheetViews>
  <sheetFormatPr defaultRowHeight="14.4" x14ac:dyDescent="0.3"/>
  <cols>
    <col min="1" max="1" width="2.44140625" customWidth="1"/>
    <col min="2" max="2" width="20.77734375" customWidth="1"/>
    <col min="3" max="3" width="19" customWidth="1"/>
    <col min="4" max="4" width="11.5546875" customWidth="1"/>
    <col min="5" max="5" width="11" customWidth="1"/>
    <col min="6" max="6" width="23" customWidth="1"/>
    <col min="7" max="7" width="20.44140625" customWidth="1"/>
    <col min="8" max="8" width="17.44140625" customWidth="1"/>
    <col min="9" max="9" width="11.21875" customWidth="1"/>
    <col min="10" max="10" width="17.21875" bestFit="1" customWidth="1"/>
    <col min="11" max="11" width="11.5546875" bestFit="1" customWidth="1"/>
    <col min="12" max="12" width="10.21875" customWidth="1"/>
    <col min="14" max="14" width="8.44140625" bestFit="1" customWidth="1"/>
    <col min="15" max="15" width="9.77734375" customWidth="1"/>
    <col min="16" max="16" width="11.21875" customWidth="1"/>
    <col min="17" max="17" width="13.5546875" bestFit="1" customWidth="1"/>
    <col min="18" max="18" width="14.5546875" bestFit="1" customWidth="1"/>
    <col min="19" max="19" width="12" bestFit="1" customWidth="1"/>
    <col min="20" max="20" width="15" bestFit="1" customWidth="1"/>
  </cols>
  <sheetData>
    <row r="1" spans="2:19" ht="21" x14ac:dyDescent="0.4">
      <c r="B1" s="7" t="s">
        <v>27</v>
      </c>
      <c r="J1" s="2"/>
      <c r="K1" s="2"/>
      <c r="M1" s="3"/>
      <c r="N1" s="3"/>
      <c r="S1" s="1"/>
    </row>
    <row r="2" spans="2:19" x14ac:dyDescent="0.3">
      <c r="B2" s="4" t="s">
        <v>25</v>
      </c>
      <c r="J2" s="2"/>
      <c r="K2" s="2"/>
      <c r="M2" s="3"/>
      <c r="N2" s="3"/>
      <c r="S2" s="1"/>
    </row>
    <row r="3" spans="2:19" x14ac:dyDescent="0.3">
      <c r="B3" s="4" t="s">
        <v>26</v>
      </c>
      <c r="J3" s="2"/>
      <c r="K3" s="2"/>
      <c r="M3" s="3"/>
      <c r="N3" s="3"/>
      <c r="S3" s="1"/>
    </row>
    <row r="4" spans="2:19" x14ac:dyDescent="0.3">
      <c r="J4" s="2"/>
      <c r="K4" s="2"/>
      <c r="M4" s="3"/>
      <c r="N4" s="3"/>
      <c r="S4" s="1"/>
    </row>
    <row r="5" spans="2:19" x14ac:dyDescent="0.3">
      <c r="B5" s="4" t="s">
        <v>24</v>
      </c>
      <c r="J5" s="2"/>
      <c r="K5" s="2"/>
      <c r="N5" s="3"/>
      <c r="S5" s="1"/>
    </row>
    <row r="6" spans="2:19" x14ac:dyDescent="0.3">
      <c r="B6" s="3" t="s">
        <v>1</v>
      </c>
      <c r="J6" s="2"/>
      <c r="K6" s="2"/>
      <c r="N6" s="3"/>
      <c r="S6" s="1"/>
    </row>
    <row r="7" spans="2:19" x14ac:dyDescent="0.3">
      <c r="J7" s="2"/>
      <c r="K7" s="2"/>
      <c r="N7" s="3"/>
      <c r="S7" s="1"/>
    </row>
    <row r="8" spans="2:19" x14ac:dyDescent="0.3">
      <c r="B8" s="4" t="s">
        <v>53</v>
      </c>
    </row>
    <row r="9" spans="2:19" x14ac:dyDescent="0.3">
      <c r="B9" s="4" t="s">
        <v>54</v>
      </c>
    </row>
    <row r="10" spans="2:19" x14ac:dyDescent="0.3">
      <c r="B10" s="4" t="s">
        <v>48</v>
      </c>
    </row>
    <row r="11" spans="2:19" x14ac:dyDescent="0.3">
      <c r="B11" s="3" t="s">
        <v>46</v>
      </c>
    </row>
    <row r="13" spans="2:19" x14ac:dyDescent="0.3">
      <c r="B13" s="4" t="s">
        <v>52</v>
      </c>
    </row>
    <row r="14" spans="2:19" x14ac:dyDescent="0.3">
      <c r="B14" s="3" t="s">
        <v>0</v>
      </c>
    </row>
    <row r="15" spans="2:19" x14ac:dyDescent="0.3">
      <c r="B15" s="3" t="s">
        <v>8</v>
      </c>
    </row>
    <row r="16" spans="2:19" x14ac:dyDescent="0.3">
      <c r="B16" s="3"/>
    </row>
    <row r="17" spans="2:10" ht="15.6" x14ac:dyDescent="0.3">
      <c r="B17" s="14" t="s">
        <v>22</v>
      </c>
      <c r="C17" s="15"/>
      <c r="D17" s="15"/>
      <c r="E17" s="15"/>
      <c r="F17" s="15"/>
      <c r="G17" s="15"/>
      <c r="H17" s="15"/>
      <c r="I17" s="15"/>
      <c r="J17" s="14"/>
    </row>
    <row r="18" spans="2:10" ht="15.6" x14ac:dyDescent="0.3">
      <c r="B18" s="14" t="s">
        <v>23</v>
      </c>
      <c r="C18" s="15"/>
      <c r="D18" s="15"/>
      <c r="E18" s="15"/>
      <c r="F18" s="15"/>
      <c r="G18" s="15"/>
      <c r="H18" s="15"/>
      <c r="I18" s="15"/>
      <c r="J18" s="14"/>
    </row>
    <row r="20" spans="2:10" ht="15.6" x14ac:dyDescent="0.3">
      <c r="B20" s="22" t="s">
        <v>38</v>
      </c>
      <c r="C20" s="13"/>
      <c r="D20" s="13"/>
      <c r="E20" s="13"/>
      <c r="F20" s="13"/>
      <c r="G20" s="13"/>
      <c r="H20" s="13"/>
      <c r="I20" s="13"/>
      <c r="J20" s="13"/>
    </row>
    <row r="22" spans="2:10" s="10" customFormat="1" ht="21" x14ac:dyDescent="0.3">
      <c r="B22" s="12" t="s">
        <v>40</v>
      </c>
      <c r="C22" s="12"/>
      <c r="D22" s="12"/>
      <c r="E22" s="12"/>
      <c r="F22" s="12"/>
      <c r="G22" s="12"/>
      <c r="H22" s="12"/>
      <c r="I22" s="12"/>
      <c r="J22" s="12"/>
    </row>
    <row r="23" spans="2:10" s="10" customFormat="1" ht="20.25" customHeight="1" x14ac:dyDescent="0.3">
      <c r="B23" s="9" t="s">
        <v>49</v>
      </c>
      <c r="G23" s="9" t="s">
        <v>51</v>
      </c>
    </row>
    <row r="24" spans="2:10" x14ac:dyDescent="0.3">
      <c r="B24" s="29" t="s">
        <v>10</v>
      </c>
      <c r="C24" s="17" t="s">
        <v>34</v>
      </c>
      <c r="E24" s="19">
        <f>ConvertDecimal(C24)</f>
        <v>-37.951033416666668</v>
      </c>
      <c r="G24" s="5" t="s">
        <v>14</v>
      </c>
      <c r="H24" s="20" t="e">
        <f ca="1">VincentyDirLat(E24,E25,C27,C26)</f>
        <v>#NAME?</v>
      </c>
      <c r="J24" s="6" t="e">
        <f ca="1">ConvertDegrees(H24, FALSE)</f>
        <v>#NAME?</v>
      </c>
    </row>
    <row r="25" spans="2:10" x14ac:dyDescent="0.3">
      <c r="B25" s="30"/>
      <c r="C25" s="17" t="s">
        <v>36</v>
      </c>
      <c r="E25" s="19" t="e">
        <f ca="1">ConvertDecimal(C25)</f>
        <v>#NAME?</v>
      </c>
      <c r="G25" s="5" t="s">
        <v>15</v>
      </c>
      <c r="H25" s="20" t="e">
        <f ca="1">VincentyDirLon(E24,E25,C27,C26)</f>
        <v>#NAME?</v>
      </c>
      <c r="J25" s="6" t="e">
        <f ca="1">ConvertDegrees(H25, TRUE)</f>
        <v>#NAME?</v>
      </c>
    </row>
    <row r="26" spans="2:10" x14ac:dyDescent="0.3">
      <c r="B26" s="16" t="s">
        <v>9</v>
      </c>
      <c r="C26" s="23">
        <v>54972.271142042664</v>
      </c>
      <c r="G26" s="5" t="s">
        <v>13</v>
      </c>
      <c r="H26" s="20" t="e">
        <f ca="1">VincentyDirRevAzimuth(E24,E25,C27,C26,TRUE)</f>
        <v>#NAME?</v>
      </c>
    </row>
    <row r="27" spans="2:10" x14ac:dyDescent="0.3">
      <c r="B27" s="16" t="s">
        <v>7</v>
      </c>
      <c r="C27" s="18">
        <v>306.86815920330764</v>
      </c>
    </row>
    <row r="30" spans="2:10" s="10" customFormat="1" ht="21" x14ac:dyDescent="0.3">
      <c r="B30" s="12" t="s">
        <v>39</v>
      </c>
      <c r="C30" s="12"/>
      <c r="D30" s="12"/>
      <c r="E30" s="12"/>
      <c r="F30" s="12"/>
      <c r="G30" s="12"/>
      <c r="H30" s="12"/>
      <c r="I30" s="12"/>
      <c r="J30" s="12"/>
    </row>
    <row r="31" spans="2:10" s="10" customFormat="1" ht="20.25" customHeight="1" x14ac:dyDescent="0.3">
      <c r="B31" s="9" t="s">
        <v>50</v>
      </c>
      <c r="G31" s="9" t="s">
        <v>47</v>
      </c>
    </row>
    <row r="32" spans="2:10" x14ac:dyDescent="0.3">
      <c r="B32" s="29" t="s">
        <v>10</v>
      </c>
      <c r="C32" s="17" t="s">
        <v>34</v>
      </c>
      <c r="E32" s="19">
        <f>ConvertDecimal(C32)</f>
        <v>-37.951033416666668</v>
      </c>
      <c r="G32" s="5" t="s">
        <v>9</v>
      </c>
      <c r="H32" s="24">
        <f>VincentyInvDistance(E32,E33,E34,E35)</f>
        <v>54972.271138415599</v>
      </c>
    </row>
    <row r="33" spans="2:8" x14ac:dyDescent="0.3">
      <c r="B33" s="30"/>
      <c r="C33" s="17" t="s">
        <v>36</v>
      </c>
      <c r="E33" s="19">
        <f>ConvertDecimal(C33)</f>
        <v>144.42486788888888</v>
      </c>
      <c r="G33" s="5" t="s">
        <v>12</v>
      </c>
      <c r="H33" s="21">
        <f>VincentyInvFwdAzimuth(E32,E33,E34,E35)</f>
        <v>306.8681592033081</v>
      </c>
    </row>
    <row r="34" spans="2:8" x14ac:dyDescent="0.3">
      <c r="B34" s="29" t="s">
        <v>11</v>
      </c>
      <c r="C34" s="17" t="s">
        <v>35</v>
      </c>
      <c r="E34" s="19">
        <f>ConvertDecimal(C34)</f>
        <v>-37.652821138888889</v>
      </c>
      <c r="G34" s="5" t="s">
        <v>13</v>
      </c>
      <c r="H34" s="21">
        <f>VincentyInvRevAzimuth(E32,E33,E34,E35, TRUE)</f>
        <v>127.17363062944486</v>
      </c>
    </row>
    <row r="35" spans="2:8" x14ac:dyDescent="0.3">
      <c r="B35" s="30"/>
      <c r="C35" s="17" t="s">
        <v>37</v>
      </c>
      <c r="E35" s="19">
        <f>ConvertDecimal(C35)</f>
        <v>143.92649552777777</v>
      </c>
    </row>
    <row r="38" spans="2:8" x14ac:dyDescent="0.3">
      <c r="B38" s="11" t="s">
        <v>19</v>
      </c>
    </row>
    <row r="39" spans="2:8" x14ac:dyDescent="0.3">
      <c r="B39" t="s">
        <v>20</v>
      </c>
    </row>
    <row r="40" spans="2:8" x14ac:dyDescent="0.3">
      <c r="B40" s="3" t="s">
        <v>6</v>
      </c>
      <c r="F40" s="10"/>
      <c r="G40" s="26" t="s">
        <v>17</v>
      </c>
      <c r="H40" s="26" t="s">
        <v>18</v>
      </c>
    </row>
    <row r="41" spans="2:8" x14ac:dyDescent="0.3">
      <c r="B41" s="3" t="s">
        <v>2</v>
      </c>
      <c r="F41" s="25" t="s">
        <v>28</v>
      </c>
      <c r="G41" s="27">
        <v>5.0000000000000001E-9</v>
      </c>
      <c r="H41" s="27">
        <v>0</v>
      </c>
    </row>
    <row r="42" spans="2:8" x14ac:dyDescent="0.3">
      <c r="B42" t="s">
        <v>21</v>
      </c>
      <c r="F42" s="25" t="s">
        <v>29</v>
      </c>
      <c r="G42" s="27">
        <v>2.0000000000000001E-9</v>
      </c>
      <c r="H42" s="27">
        <v>1.0000000000000001E-9</v>
      </c>
    </row>
    <row r="43" spans="2:8" x14ac:dyDescent="0.3">
      <c r="B43" s="3" t="s">
        <v>4</v>
      </c>
      <c r="F43" s="25" t="s">
        <v>30</v>
      </c>
      <c r="G43" s="27">
        <v>8.3300000000000001E-7</v>
      </c>
      <c r="H43" s="27">
        <v>0</v>
      </c>
    </row>
    <row r="44" spans="2:8" x14ac:dyDescent="0.3">
      <c r="B44" s="3" t="s">
        <v>5</v>
      </c>
      <c r="F44" s="25" t="s">
        <v>31</v>
      </c>
      <c r="G44" s="27">
        <v>2.4182999999999999E-5</v>
      </c>
      <c r="H44" s="27">
        <v>1.269E-6</v>
      </c>
    </row>
    <row r="45" spans="2:8" x14ac:dyDescent="0.3">
      <c r="B45" s="3" t="s">
        <v>3</v>
      </c>
      <c r="F45" s="25" t="s">
        <v>32</v>
      </c>
      <c r="G45" s="27">
        <v>8.0979999999999994E-6</v>
      </c>
      <c r="H45" s="27">
        <v>3.9280000000000003E-6</v>
      </c>
    </row>
    <row r="46" spans="2:8" x14ac:dyDescent="0.3">
      <c r="F46" s="25" t="s">
        <v>33</v>
      </c>
      <c r="G46" s="27">
        <v>5.2449999999999998E-6</v>
      </c>
      <c r="H46" s="27">
        <v>3.9280000000000003E-6</v>
      </c>
    </row>
    <row r="47" spans="2:8" x14ac:dyDescent="0.3">
      <c r="B47" s="8" t="s">
        <v>16</v>
      </c>
    </row>
    <row r="48" spans="2:8" x14ac:dyDescent="0.3">
      <c r="B48" s="3" t="s">
        <v>45</v>
      </c>
    </row>
    <row r="49" spans="2:8" x14ac:dyDescent="0.3">
      <c r="B49" s="3" t="s">
        <v>44</v>
      </c>
      <c r="H49" s="3"/>
    </row>
    <row r="50" spans="2:8" x14ac:dyDescent="0.3">
      <c r="B50" s="3" t="s">
        <v>41</v>
      </c>
    </row>
    <row r="51" spans="2:8" x14ac:dyDescent="0.3">
      <c r="B51" s="3" t="s">
        <v>42</v>
      </c>
    </row>
    <row r="52" spans="2:8" x14ac:dyDescent="0.3">
      <c r="B52" s="3" t="s">
        <v>43</v>
      </c>
      <c r="H52" s="3"/>
    </row>
    <row r="56" spans="2:8" x14ac:dyDescent="0.3">
      <c r="F56" s="28"/>
    </row>
    <row r="57" spans="2:8" x14ac:dyDescent="0.3">
      <c r="F57" s="28"/>
    </row>
  </sheetData>
  <mergeCells count="3">
    <mergeCell ref="B24:B25"/>
    <mergeCell ref="B32:B33"/>
    <mergeCell ref="B34:B35"/>
  </mergeCells>
  <hyperlinks>
    <hyperlink ref="B50" r:id="rId1" xr:uid="{90AE0FDE-3389-4E59-9067-FA1199551BB6}"/>
    <hyperlink ref="B41" r:id="rId2" xr:uid="{293BB999-A74D-49F7-B870-68F7CF693652}"/>
    <hyperlink ref="B52" r:id="rId3" xr:uid="{C41B7210-6144-4B2F-90A7-D0F6E0B36574}"/>
    <hyperlink ref="B51" r:id="rId4" xr:uid="{F437963F-F579-459C-BF7B-7E5691D756B3}"/>
    <hyperlink ref="B45" r:id="rId5" xr:uid="{E5A20D27-E291-41E9-AA5C-FD68715DE179}"/>
    <hyperlink ref="B43" r:id="rId6" xr:uid="{2CDBB069-ECFC-42F3-9EA9-0E3F1E54A7FD}"/>
    <hyperlink ref="B44" r:id="rId7" xr:uid="{D2EAE2A9-F1E1-49C3-AF43-DEC3556CC185}"/>
    <hyperlink ref="B6" r:id="rId8" xr:uid="{6CC7DEDF-D5E3-4286-96E6-19B15ECA2C9F}"/>
    <hyperlink ref="B48" r:id="rId9" display="Thaddeus Vincenty: oryginal publication (1)" xr:uid="{2D10BEA7-F26A-402D-A403-CBA9755254B4}"/>
    <hyperlink ref="B49" r:id="rId10" display="Thaddeus Vincenty: oryginal publication (2)" xr:uid="{9B028A96-0594-4F4A-BFB4-E2819F5B5461}"/>
    <hyperlink ref="B14" r:id="rId11" xr:uid="{93068BCB-B234-4AF9-94D9-A2BB33C61F90}"/>
    <hyperlink ref="B15" r:id="rId12" xr:uid="{1515B828-09CF-4F6C-B8D8-DB7E7254ACA1}"/>
  </hyperlinks>
  <pageMargins left="0.7" right="0.7" top="0.75" bottom="0.75" header="0.3" footer="0.3"/>
  <pageSetup orientation="portrait" r:id="rId13"/>
  <drawing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KAUSHAL PRAJAPATI</cp:lastModifiedBy>
  <dcterms:created xsi:type="dcterms:W3CDTF">2018-03-16T12:55:15Z</dcterms:created>
  <dcterms:modified xsi:type="dcterms:W3CDTF">2023-06-17T20:04:31Z</dcterms:modified>
  <cp:category>Geodesy</cp:category>
</cp:coreProperties>
</file>